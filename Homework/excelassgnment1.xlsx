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56c63efceb36ea0/Desktop/Adv_Excel/Homework/"/>
    </mc:Choice>
  </mc:AlternateContent>
  <xr:revisionPtr revIDLastSave="2" documentId="13_ncr:1_{6B3AA484-84F1-42F2-BBF9-F9DCFD29A792}" xr6:coauthVersionLast="47" xr6:coauthVersionMax="47" xr10:uidLastSave="{398A5377-C5F4-49EF-AD4F-442860E388AD}"/>
  <bookViews>
    <workbookView xWindow="-108" yWindow="-108" windowWidth="23256" windowHeight="12456" activeTab="3" xr2:uid="{00000000-000D-0000-FFFF-FFFF00000000}"/>
  </bookViews>
  <sheets>
    <sheet name="Task-1" sheetId="1" r:id="rId1"/>
    <sheet name="Task-2" sheetId="2" r:id="rId2"/>
    <sheet name="Task-3" sheetId="3" r:id="rId3"/>
    <sheet name="Task-4" sheetId="4" r:id="rId4"/>
    <sheet name="Task-5" sheetId="5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5" l="1"/>
  <c r="G3" i="5"/>
  <c r="G4" i="5"/>
  <c r="G5" i="5"/>
  <c r="G6" i="5"/>
  <c r="G7" i="5"/>
  <c r="G8" i="5"/>
  <c r="F3" i="5"/>
  <c r="E3" i="4"/>
  <c r="E4" i="4"/>
  <c r="E5" i="4"/>
  <c r="E6" i="4"/>
  <c r="E7" i="4"/>
  <c r="E8" i="4"/>
  <c r="E9" i="4"/>
  <c r="E10" i="4"/>
  <c r="E11" i="4"/>
  <c r="E2" i="4"/>
  <c r="D2" i="4"/>
  <c r="C12" i="4"/>
  <c r="B12" i="4"/>
  <c r="D3" i="4"/>
  <c r="D4" i="4"/>
  <c r="D5" i="4"/>
  <c r="D6" i="4"/>
  <c r="D7" i="4"/>
  <c r="D8" i="4"/>
  <c r="D9" i="4"/>
  <c r="D10" i="4"/>
  <c r="D11" i="4"/>
  <c r="G3" i="3"/>
  <c r="G4" i="3"/>
  <c r="G5" i="3"/>
  <c r="G6" i="3"/>
  <c r="G7" i="3"/>
  <c r="G8" i="3"/>
  <c r="G9" i="3"/>
  <c r="G10" i="3"/>
  <c r="G2" i="3"/>
  <c r="B11" i="3"/>
  <c r="F3" i="3"/>
  <c r="F4" i="3"/>
  <c r="F5" i="3"/>
  <c r="F6" i="3"/>
  <c r="F7" i="3"/>
  <c r="F8" i="3"/>
  <c r="F9" i="3"/>
  <c r="F10" i="3"/>
  <c r="F2" i="3"/>
  <c r="E3" i="3"/>
  <c r="E4" i="3"/>
  <c r="E5" i="3"/>
  <c r="E6" i="3"/>
  <c r="E7" i="3"/>
  <c r="E8" i="3"/>
  <c r="E9" i="3"/>
  <c r="E10" i="3"/>
  <c r="E2" i="3"/>
  <c r="E3" i="2"/>
  <c r="E4" i="2"/>
  <c r="E5" i="2"/>
  <c r="E6" i="2"/>
  <c r="E7" i="2"/>
  <c r="E8" i="2"/>
  <c r="E9" i="2"/>
  <c r="E10" i="2"/>
  <c r="E11" i="2"/>
  <c r="E2" i="2"/>
  <c r="F8" i="1"/>
  <c r="F3" i="1"/>
  <c r="F10" i="1"/>
  <c r="F6" i="1"/>
  <c r="F2" i="1"/>
  <c r="F9" i="1"/>
  <c r="F5" i="1"/>
  <c r="F7" i="1"/>
  <c r="F4" i="1"/>
</calcChain>
</file>

<file path=xl/sharedStrings.xml><?xml version="1.0" encoding="utf-8"?>
<sst xmlns="http://schemas.openxmlformats.org/spreadsheetml/2006/main" count="127" uniqueCount="108">
  <si>
    <t xml:space="preserve">Student ID </t>
  </si>
  <si>
    <t xml:space="preserve"> Name         </t>
  </si>
  <si>
    <t xml:space="preserve"> Math Score </t>
  </si>
  <si>
    <t xml:space="preserve"> Science Score </t>
  </si>
  <si>
    <t xml:space="preserve"> English Score </t>
  </si>
  <si>
    <t xml:space="preserve"> John Doe       </t>
  </si>
  <si>
    <t xml:space="preserve"> Jane Smith     </t>
  </si>
  <si>
    <t xml:space="preserve"> David Brown    </t>
  </si>
  <si>
    <t xml:space="preserve"> Emily Johnson  </t>
  </si>
  <si>
    <t xml:space="preserve"> Michael Lee    </t>
  </si>
  <si>
    <t xml:space="preserve"> Sarah Wang     </t>
  </si>
  <si>
    <t xml:space="preserve"> Daniel Kim     </t>
  </si>
  <si>
    <t xml:space="preserve"> Jessica Liu    </t>
  </si>
  <si>
    <t xml:space="preserve"> Ethan Chen     </t>
  </si>
  <si>
    <t>1. Apply conditional formatting to highlight students with an average score above 85.</t>
  </si>
  <si>
    <t>2. Sort the student data based on their Math Score in descending order.</t>
  </si>
  <si>
    <t>3. Format the scores to one decimal place.</t>
  </si>
  <si>
    <t>Product ID</t>
  </si>
  <si>
    <t>Product Name</t>
  </si>
  <si>
    <t>Category</t>
  </si>
  <si>
    <t>Price</t>
  </si>
  <si>
    <t>Quantity</t>
  </si>
  <si>
    <t>Laptop</t>
  </si>
  <si>
    <t>Electronics</t>
  </si>
  <si>
    <t>T-shirt</t>
  </si>
  <si>
    <t>Clothing</t>
  </si>
  <si>
    <t>Smartphone</t>
  </si>
  <si>
    <t>Headphones</t>
  </si>
  <si>
    <t>Jeans</t>
  </si>
  <si>
    <t>Tablet</t>
  </si>
  <si>
    <t>Dress Shirt</t>
  </si>
  <si>
    <t>Camera</t>
  </si>
  <si>
    <t>Sneakers</t>
  </si>
  <si>
    <t>Smart Watch</t>
  </si>
  <si>
    <t>Task :</t>
  </si>
  <si>
    <t>1. Create a table to manage product inventory with columns for Product ID, Product Name, Category, Price, and Quantity.</t>
  </si>
  <si>
    <t>2. Calculate the total value of each product (Price * Quantity).</t>
  </si>
  <si>
    <t>3. Use data validation to create a drop-down list for selecting categories.</t>
  </si>
  <si>
    <t>4. Apply conditional formatting to highlight products with a price above $500.</t>
  </si>
  <si>
    <t>5. Insert a column chart to visualize the quantity of each product</t>
  </si>
  <si>
    <t>1. Calculate the total sales for each month using the SUM function.</t>
  </si>
  <si>
    <t>2. Calculate the average sales across all three products for each month using the AVERAGE function.</t>
  </si>
  <si>
    <t>3. Use COUNTIF function to count the number of months where Sales A exceeded 1000.</t>
  </si>
  <si>
    <t>4. Use MAX function to find the highest sales value among all products for each month.</t>
  </si>
  <si>
    <t>Month</t>
  </si>
  <si>
    <t>Sales A</t>
  </si>
  <si>
    <t>Sales B</t>
  </si>
  <si>
    <t>Sales C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</si>
  <si>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</si>
  <si>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</si>
  <si>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</si>
  <si>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</si>
  <si>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</si>
  <si>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</si>
  <si>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</si>
  <si>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</si>
  <si>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</si>
  <si>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1. Calculate the profit for each product using a formula (Revenue - Cost).</t>
  </si>
  <si>
    <t>2. Calculate the total cost and total revenue using the SUM function.</t>
  </si>
  <si>
    <t>3. Use IF function to categorize each product as "Profitable" if Profit &gt; 0, otherwise "Not Profitable".</t>
  </si>
  <si>
    <t>4. Create a pie chart to represent the percentage distribution of Profitable and Not Profitable products.</t>
  </si>
  <si>
    <t>5. Format the financial statement with currency and percentage formats.</t>
  </si>
  <si>
    <t>Item</t>
  </si>
  <si>
    <t>Cost</t>
  </si>
  <si>
    <t>Revenue</t>
  </si>
  <si>
    <t>Profit</t>
  </si>
  <si>
    <t>Product D</t>
  </si>
  <si>
    <t>Product E</t>
  </si>
  <si>
    <t>Product F</t>
  </si>
  <si>
    <t>Product G</t>
  </si>
  <si>
    <t>Product H</t>
  </si>
  <si>
    <t>Product I</t>
  </si>
  <si>
    <t>Product J</t>
  </si>
  <si>
    <t>Product K</t>
  </si>
  <si>
    <t>Product L</t>
  </si>
  <si>
    <t>Product M</t>
  </si>
  <si>
    <t>1. Apply conditional formatting to highlight employees with a salary above $60000.</t>
  </si>
  <si>
    <t>2. Create a drop-down list for selecting departments using data validation.</t>
  </si>
  <si>
    <t>3. Use VLOOKUP function to retrieve the Department of Employee ID 2.</t>
  </si>
  <si>
    <t>4. Calculate the number of years each employee has been with the company using DATEDIF function.</t>
  </si>
  <si>
    <t>5. Create a PivotTable to summarize total salary by department.</t>
  </si>
  <si>
    <t>Employee ID</t>
  </si>
  <si>
    <t>Employee Name</t>
  </si>
  <si>
    <t>Department</t>
  </si>
  <si>
    <t>Salary</t>
  </si>
  <si>
    <t>Hire Date</t>
  </si>
  <si>
    <t>Emily|Johnson</t>
  </si>
  <si>
    <t>HR</t>
  </si>
  <si>
    <t>Michael|Lee</t>
  </si>
  <si>
    <t>Sales</t>
  </si>
  <si>
    <t>Sarah|Wang</t>
  </si>
  <si>
    <t>Finance</t>
  </si>
  <si>
    <t>Daniel|Kim</t>
  </si>
  <si>
    <t>Jessica|Liu</t>
  </si>
  <si>
    <t>Ethan|Chen</t>
  </si>
  <si>
    <t>Sophia|Brown</t>
  </si>
  <si>
    <t>Average</t>
  </si>
  <si>
    <t>Total Value</t>
  </si>
  <si>
    <t>Total Sales</t>
  </si>
  <si>
    <t>maximum value</t>
  </si>
  <si>
    <t>5. Create a line chart to visualize the trend of Sales A, Sales B, and Sales C over the three months.</t>
  </si>
  <si>
    <t>Status</t>
  </si>
  <si>
    <t>Profitable</t>
  </si>
  <si>
    <t xml:space="preserve">Not Profitable </t>
  </si>
  <si>
    <t>Years</t>
  </si>
  <si>
    <t>Row Labels</t>
  </si>
  <si>
    <t>Grand Total</t>
  </si>
  <si>
    <t>Sum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</si>
</sst>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0" fillId="0" borderId="9" xfId="0" applyBorder="1"/>
    <xf numFmtId="0" fontId="0" fillId="0" borderId="7" xfId="0" applyBorder="1"/>
    <xf numFmtId="164" fontId="2" fillId="0" borderId="1" xfId="0" applyNumberFormat="1" applyFont="1" applyBorder="1"/>
    <xf numFmtId="164" fontId="0" fillId="0" borderId="1" xfId="0" applyNumberForma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/>
    <xf numFmtId="0" fontId="4" fillId="2" borderId="0" xfId="0" applyFont="1" applyFill="1"/>
    <xf numFmtId="0" fontId="2" fillId="0" borderId="1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ill>
        <patternFill>
          <bgColor theme="7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'Task-2'!$B$2:$B$11</c:f>
              <c:strCache>
                <c:ptCount val="10"/>
                <c:pt idx="0">
                  <c:v>Laptop</c:v>
                </c:pt>
                <c:pt idx="1">
                  <c:v>T-shirt</c:v>
                </c:pt>
                <c:pt idx="2">
                  <c:v>Smartphone</c:v>
                </c:pt>
                <c:pt idx="3">
                  <c:v>Headphones</c:v>
                </c:pt>
                <c:pt idx="4">
                  <c:v>Jeans</c:v>
                </c:pt>
                <c:pt idx="5">
                  <c:v>Tablet</c:v>
                </c:pt>
                <c:pt idx="6">
                  <c:v>Dress Shirt</c:v>
                </c:pt>
                <c:pt idx="7">
                  <c:v>Camera</c:v>
                </c:pt>
                <c:pt idx="8">
                  <c:v>Sneakers</c:v>
                </c:pt>
                <c:pt idx="9">
                  <c:v>Smart Watch</c:v>
                </c:pt>
              </c:strCache>
            </c:strRef>
          </c:cat>
          <c:val>
            <c:numRef>
              <c:f>'Task-2'!$F$2:$F$11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8</c:v>
                </c:pt>
                <c:pt idx="3">
                  <c:v>15</c:v>
                </c:pt>
                <c:pt idx="4">
                  <c:v>12</c:v>
                </c:pt>
                <c:pt idx="5">
                  <c:v>6</c:v>
                </c:pt>
                <c:pt idx="6">
                  <c:v>20</c:v>
                </c:pt>
                <c:pt idx="7">
                  <c:v>3</c:v>
                </c:pt>
                <c:pt idx="8">
                  <c:v>7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C-4A01-B65E-63FA04E45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2020032"/>
        <c:axId val="1257503504"/>
      </c:barChart>
      <c:catAx>
        <c:axId val="158202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503504"/>
        <c:crosses val="autoZero"/>
        <c:auto val="1"/>
        <c:lblAlgn val="ctr"/>
        <c:lblOffset val="100"/>
        <c:noMultiLvlLbl val="0"/>
      </c:catAx>
      <c:valAx>
        <c:axId val="125750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02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'Task-3'!$B$1</c:f>
              <c:strCache>
                <c:ptCount val="1"/>
                <c:pt idx="0">
                  <c:v>Sales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'Task-3'!$A$2:$A$10</c:f>
              <c:strCache>
                <c:ptCount val="9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</c:strCache>
            </c:strRef>
          </c:cat>
          <c:val>
            <c:numRef>
              <c:f>'Task-3'!$B$2:$B$10</c:f>
              <c:numCache>
                <c:formatCode>General</c:formatCode>
                <c:ptCount val="9"/>
                <c:pt idx="0">
                  <c:v>1200</c:v>
                </c:pt>
                <c:pt idx="1">
                  <c:v>900</c:v>
                </c:pt>
                <c:pt idx="2">
                  <c:v>1300</c:v>
                </c:pt>
                <c:pt idx="3">
                  <c:v>1100</c:v>
                </c:pt>
                <c:pt idx="4">
                  <c:v>950</c:v>
                </c:pt>
                <c:pt idx="5">
                  <c:v>1150</c:v>
                </c:pt>
                <c:pt idx="6">
                  <c:v>1050</c:v>
                </c:pt>
                <c:pt idx="7">
                  <c:v>1000</c:v>
                </c:pt>
                <c:pt idx="8">
                  <c:v>1250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49-4C08-B8FC-353E571F5B3B}"/>
            </c:ext>
          </c:extLst>
        </c:ser>
        <c:ser>
          <c:idx val="1"/>
          <c:order val="1"/>
          <c:tx>
            <c:strRef>
              <c:f>'Task-3'!$C$1</c:f>
              <c:strCache>
                <c:ptCount val="1"/>
                <c:pt idx="0">
                  <c:v>Sales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'Task-3'!$A$2:$A$10</c:f>
              <c:strCache>
                <c:ptCount val="9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</c:strCache>
            </c:strRef>
          </c:cat>
          <c:val>
            <c:numRef>
              <c:f>'Task-3'!$C$2:$C$10</c:f>
              <c:numCache>
                <c:formatCode>General</c:formatCode>
                <c:ptCount val="9"/>
                <c:pt idx="0">
                  <c:v>1100</c:v>
                </c:pt>
                <c:pt idx="1">
                  <c:v>1000</c:v>
                </c:pt>
                <c:pt idx="2">
                  <c:v>950</c:v>
                </c:pt>
                <c:pt idx="3">
                  <c:v>1200</c:v>
                </c:pt>
                <c:pt idx="4">
                  <c:v>800</c:v>
                </c:pt>
                <c:pt idx="5">
                  <c:v>1050</c:v>
                </c:pt>
                <c:pt idx="6">
                  <c:v>900</c:v>
                </c:pt>
                <c:pt idx="7">
                  <c:v>1150</c:v>
                </c:pt>
                <c:pt idx="8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49-4C08-B8FC-353E571F5B3B}"/>
            </c:ext>
          </c:extLst>
        </c:ser>
        <c:ser>
          <c:idx val="2"/>
          <c:order val="2"/>
          <c:tx>
            <c:strRef>
              <c:f>'Task-3'!$D$1</c:f>
              <c:strCache>
                <c:ptCount val="1"/>
                <c:pt idx="0">
                  <c:v>Sales 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'Task-3'!$A$2:$A$10</c:f>
              <c:strCache>
                <c:ptCount val="9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</c:strCache>
            </c:strRef>
          </c:cat>
          <c:val>
            <c:numRef>
              <c:f>'Task-3'!$D$2:$D$10</c:f>
              <c:numCache>
                <c:formatCode>General</c:formatCode>
                <c:ptCount val="9"/>
                <c:pt idx="0">
                  <c:v>900</c:v>
                </c:pt>
                <c:pt idx="1">
                  <c:v>800</c:v>
                </c:pt>
                <c:pt idx="2">
                  <c:v>1050</c:v>
                </c:pt>
                <c:pt idx="3">
                  <c:v>850</c:v>
                </c:pt>
                <c:pt idx="4">
                  <c:v>950</c:v>
                </c:pt>
                <c:pt idx="5">
                  <c:v>1000</c:v>
                </c:pt>
                <c:pt idx="6">
                  <c:v>1100</c:v>
                </c:pt>
                <c:pt idx="7">
                  <c:v>950</c:v>
                </c:pt>
                <c:pt idx="8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49-4C08-B8FC-353E571F5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5883184"/>
        <c:axId val="1809492656"/>
      </c:lineChart>
      <c:catAx>
        <c:axId val="179588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492656"/>
        <c:crosses val="autoZero"/>
        <c:auto val="1"/>
        <c:lblAlgn val="ctr"/>
        <c:lblOffset val="100"/>
        <c:noMultiLvlLbl val="0"/>
      </c:catAx>
      <c:valAx>
        <c:axId val="180949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88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'Task-3'!$A$2</c:f>
              <c:strCache>
                <c:ptCount val="1"/>
                <c:pt idx="0">
                  <c:v>April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'Task-3'!$B$2:$D$2</c:f>
              <c:numCache>
                <c:formatCode>General</c:formatCode>
                <c:ptCount val="3"/>
                <c:pt idx="0">
                  <c:v>1200</c:v>
                </c:pt>
                <c:pt idx="1">
                  <c:v>1100</c:v>
                </c:pt>
                <c:pt idx="2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39-45C2-839F-CCB6CFA8392E}"/>
            </c:ext>
          </c:extLst>
        </c:ser>
        <c:ser>
          <c:idx val="1"/>
          <c:order val="1"/>
          <c:tx>
            <c:strRef>
              <c:f>'Task-3'!$A$3</c:f>
              <c:strCache>
                <c:ptCount val="1"/>
                <c:pt idx="0">
                  <c:v>May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'Task-3'!$B$3:$D$3</c:f>
              <c:numCache>
                <c:formatCode>General</c:formatCode>
                <c:ptCount val="3"/>
                <c:pt idx="0">
                  <c:v>900</c:v>
                </c:pt>
                <c:pt idx="1">
                  <c:v>1000</c:v>
                </c:pt>
                <c:pt idx="2">
                  <c:v>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39-45C2-839F-CCB6CFA8392E}"/>
            </c:ext>
          </c:extLst>
        </c:ser>
        <c:ser>
          <c:idx val="2"/>
          <c:order val="2"/>
          <c:tx>
            <c:strRef>
              <c:f>'Task-3'!$A$4</c:f>
              <c:strCache>
                <c:ptCount val="1"/>
                <c:pt idx="0">
                  <c:v>June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'Task-3'!$B$4:$D$4</c:f>
              <c:numCache>
                <c:formatCode>General</c:formatCode>
                <c:ptCount val="3"/>
                <c:pt idx="0">
                  <c:v>1300</c:v>
                </c:pt>
                <c:pt idx="1">
                  <c:v>950</c:v>
                </c:pt>
                <c:pt idx="2">
                  <c:v>1050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39-45C2-839F-CCB6CFA83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9382624"/>
        <c:axId val="1809503216"/>
      </c:lineChart>
      <c:catAx>
        <c:axId val="1709382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503216"/>
        <c:crosses val="autoZero"/>
        <c:auto val="1"/>
        <c:lblAlgn val="ctr"/>
        <c:lblOffset val="100"/>
        <c:noMultiLvlLbl val="0"/>
      </c:catAx>
      <c:valAx>
        <c:axId val="180950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38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FB-47A4-8418-E53508EF3B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FB-47A4-8418-E53508EF3B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'Task-4'!$G$2:$G$3</c:f>
              <c:strCache>
                <c:ptCount val="2"/>
                <c:pt idx="0">
                  <c:v>Profitable</c:v>
                </c:pt>
                <c:pt idx="1">
                  <c:v>Not Profitable </c:v>
                </c:pt>
              </c:strCache>
            </c:strRef>
          </c:cat>
          <c:val>
            <c:numRef>
              <c:f>'Task-4'!$H$2:$H$3</c:f>
              <c:numCache>
                <c:formatCode>General</c:formatCode>
                <c:ptCount val="2"/>
                <c:pt idx="0">
                  <c:v>10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E2-4C97-A4E5-E7E16BAADF3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281940</xdr:colOff>
      <xdr:row>13</xdr:row>
      <xdr:rowOff>68580</xdr:rowOff>
    </xdr:from>
    <xdr:to>
      <xdr:col>6</xdr:col>
      <xdr:colOff>198120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54B982-8B3B-38F8-8400-A1F94C1ED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426720</xdr:colOff>
      <xdr:row>0</xdr:row>
      <xdr:rowOff>148590</xdr:rowOff>
    </xdr:from>
    <xdr:to>
      <xdr:col>14</xdr:col>
      <xdr:colOff>30480</xdr:colOff>
      <xdr:row>13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674A14-5515-C77E-284C-7D1E105F9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541020</xdr:colOff>
      <xdr:row>11</xdr:row>
      <xdr:rowOff>106680</xdr:rowOff>
    </xdr:from>
    <xdr:to>
      <xdr:col>5</xdr:col>
      <xdr:colOff>243840</xdr:colOff>
      <xdr:row>19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DC6AD6-E8F8-50AA-3035-2A5D51183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617220</xdr:colOff>
      <xdr:row>13</xdr:row>
      <xdr:rowOff>125730</xdr:rowOff>
    </xdr:from>
    <xdr:to>
      <xdr:col>5</xdr:col>
      <xdr:colOff>510540</xdr:colOff>
      <xdr:row>23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B11C22-72BE-4F66-38D1-6DFD29476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MAYEE PATIL" refreshedDate="46209.844837384262" createdVersion="8" refreshedVersion="8" minRefreshableVersion="3" recordCount="7" xr:uid="{8E909EA7-78D1-49A0-A0A0-3041A73846F9}">
  <cacheSource type="worksheet">
    <worksheetSource ref="A1:E8" sheet="Task-5"/>
  </cacheSource>
  <cacheFields count="5">
    <cacheField name="Employee ID" numFmtId="0">
      <sharedItems containsSemiMixedTypes="0" containsString="0" containsNumber="1" containsInteger="1" minValue="1" maxValue="7"/>
    </cacheField>
    <cacheField name="Employee Name" numFmtId="0">
      <sharedItems/>
    </cacheField>
    <cacheField name="Department" numFmtId="0">
      <sharedItems count="3">
        <s v="HR"/>
        <s v="Sales"/>
        <s v="Finance"/>
      </sharedItems>
    </cacheField>
    <cacheField name="Salary" numFmtId="0">
      <sharedItems containsSemiMixedTypes="0" containsString="0" containsNumber="1" containsInteger="1" minValue="55000" maxValue="72000"/>
    </cacheField>
    <cacheField name="Hire Date" numFmtId="14">
      <sharedItems containsSemiMixedTypes="0" containsNonDate="0" containsDate="1" containsString="0" minDate="2016-09-10T00:00:00" maxDate="2020-01-0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s v="Emily|Johnson"/>
    <x v="0"/>
    <n v="55000"/>
    <d v="2017-11-20T00:00:00"/>
  </r>
  <r>
    <n v="2"/>
    <s v="Michael|Lee"/>
    <x v="1"/>
    <n v="65000"/>
    <d v="2019-08-05T00:00:00"/>
  </r>
  <r>
    <n v="3"/>
    <s v="Sarah|Wang"/>
    <x v="2"/>
    <n v="72000"/>
    <d v="2018-02-15T00:00:00"/>
  </r>
  <r>
    <n v="4"/>
    <s v="Daniel|Kim"/>
    <x v="1"/>
    <n v="63000"/>
    <d v="2020-01-03T00:00:00"/>
  </r>
  <r>
    <n v="5"/>
    <s v="Jessica|Liu"/>
    <x v="0"/>
    <n v="58000"/>
    <d v="2016-09-10T00:00:00"/>
  </r>
  <r>
    <n v="6"/>
    <s v="Ethan|Chen"/>
    <x v="2"/>
    <n v="68000"/>
    <d v="2017-06-25T00:00:00"/>
  </r>
  <r>
    <n v="7"/>
    <s v="Sophia|Brown"/>
    <x v="1"/>
    <n v="70000"/>
    <d v="2019-04-12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16DF2-3611-41B2-9BD1-18CAD0B9FA4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13:C17" firstHeaderRow="1" firstDataRow="1" firstDataCol="1"/>
  <pivotFields count="5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numFmtId="1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ar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333E95-AD78-49AB-B16F-37103784D6E3}" name="Table3" displayName="Table3" ref="A1:F11" totalsRowShown="0" headerRowDxfId="13" headerRowBorderDxfId="12" tableBorderDxfId="11" totalsRowBorderDxfId="10">
  <autoFilter ref="A1:F11" xr:uid="{4E333E95-AD78-49AB-B16F-37103784D6E3}"/>
  <tableColumns count="6">
    <tableColumn id="1" xr3:uid="{3E23EC5D-71B0-40E8-A0CF-7BDE58239104}" name="Product ID" dataDxfId="9"/>
    <tableColumn id="2" xr3:uid="{052EAA4A-1B06-4BAB-A406-F377C8EEF949}" name="Product Name" dataDxfId="8"/>
    <tableColumn id="3" xr3:uid="{04CBD48F-5512-4A86-9051-427E363ADB6E}" name="Category" dataDxfId="7"/>
    <tableColumn id="4" xr3:uid="{C84F8B8F-579C-489D-9A26-8AA1E239446D}" name="Price" dataDxfId="6"/>
    <tableColumn id="6" xr3:uid="{1478BA6B-5C4B-41A6-9B8C-476C869CD1D5}" name="Total Value" dataDxfId="5">
      <calculatedColumnFormula>Table3[[#This Row],[Quantity]]*Table3[[#This Row],[Price]]</calculatedColumnFormula>
    </tableColumn>
    <tableColumn id="5" xr3:uid="{6BF53FB4-1B55-4A8C-90AF-15ABD1F15C59}" name="Quantity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C1" sqref="C1:E10"/>
    </sheetView>
  </sheetViews>
  <sheetFormatPr defaultRowHeight="14.4" x14ac:dyDescent="0.3"/>
  <cols>
    <col min="1" max="1" width="10.21875" bestFit="1" customWidth="1"/>
    <col min="2" max="2" width="14.109375" bestFit="1" customWidth="1"/>
    <col min="3" max="3" width="11.21875" bestFit="1" customWidth="1"/>
    <col min="4" max="4" width="12.88671875" bestFit="1" customWidth="1"/>
    <col min="5" max="5" width="12.5546875" bestFit="1" customWidth="1"/>
  </cols>
  <sheetData>
    <row r="1" spans="1:6" x14ac:dyDescent="0.3">
      <c r="A1" s="8" t="s">
        <v>0</v>
      </c>
      <c r="B1" s="5" t="s">
        <v>1</v>
      </c>
      <c r="C1" s="15" t="s">
        <v>2</v>
      </c>
      <c r="D1" s="15" t="s">
        <v>3</v>
      </c>
      <c r="E1" s="15" t="s">
        <v>4</v>
      </c>
      <c r="F1" s="5" t="s">
        <v>96</v>
      </c>
    </row>
    <row r="2" spans="1:6" x14ac:dyDescent="0.3">
      <c r="A2" s="7">
        <v>5</v>
      </c>
      <c r="B2" s="1" t="s">
        <v>9</v>
      </c>
      <c r="C2" s="16">
        <v>95</v>
      </c>
      <c r="D2" s="16">
        <v>91</v>
      </c>
      <c r="E2" s="16">
        <v>87</v>
      </c>
      <c r="F2" s="1">
        <f t="shared" ref="F2:F10" si="0">AVERAGE(C2:E2)</f>
        <v>91</v>
      </c>
    </row>
    <row r="3" spans="1:6" x14ac:dyDescent="0.3">
      <c r="A3" s="7">
        <v>2</v>
      </c>
      <c r="B3" s="1" t="s">
        <v>6</v>
      </c>
      <c r="C3" s="16">
        <v>92</v>
      </c>
      <c r="D3" s="16">
        <v>88</v>
      </c>
      <c r="E3" s="16">
        <v>90</v>
      </c>
      <c r="F3" s="1">
        <f t="shared" si="0"/>
        <v>90</v>
      </c>
    </row>
    <row r="4" spans="1:6" x14ac:dyDescent="0.3">
      <c r="A4" s="7">
        <v>9</v>
      </c>
      <c r="B4" s="1" t="s">
        <v>13</v>
      </c>
      <c r="C4" s="16">
        <v>91</v>
      </c>
      <c r="D4" s="16">
        <v>87</v>
      </c>
      <c r="E4" s="16">
        <v>91</v>
      </c>
      <c r="F4" s="1">
        <f t="shared" si="0"/>
        <v>89.666666666666671</v>
      </c>
    </row>
    <row r="5" spans="1:6" x14ac:dyDescent="0.3">
      <c r="A5" s="7">
        <v>7</v>
      </c>
      <c r="B5" s="1" t="s">
        <v>11</v>
      </c>
      <c r="C5" s="16">
        <v>90</v>
      </c>
      <c r="D5" s="16">
        <v>86</v>
      </c>
      <c r="E5" s="16">
        <v>88</v>
      </c>
      <c r="F5" s="1">
        <f t="shared" si="0"/>
        <v>88</v>
      </c>
    </row>
    <row r="6" spans="1:6" x14ac:dyDescent="0.3">
      <c r="A6" s="7">
        <v>4</v>
      </c>
      <c r="B6" s="1" t="s">
        <v>8</v>
      </c>
      <c r="C6" s="16">
        <v>88</v>
      </c>
      <c r="D6" s="16">
        <v>85</v>
      </c>
      <c r="E6" s="16">
        <v>92</v>
      </c>
      <c r="F6" s="1">
        <f t="shared" si="0"/>
        <v>88.333333333333329</v>
      </c>
    </row>
    <row r="7" spans="1:6" x14ac:dyDescent="0.3">
      <c r="A7" s="1">
        <v>8</v>
      </c>
      <c r="B7" s="1" t="s">
        <v>12</v>
      </c>
      <c r="C7" s="16">
        <v>87</v>
      </c>
      <c r="D7" s="16">
        <v>83</v>
      </c>
      <c r="E7" s="16">
        <v>89</v>
      </c>
      <c r="F7" s="1">
        <f t="shared" si="0"/>
        <v>86.333333333333329</v>
      </c>
    </row>
    <row r="8" spans="1:6" x14ac:dyDescent="0.3">
      <c r="A8" s="7">
        <v>1</v>
      </c>
      <c r="B8" s="1" t="s">
        <v>5</v>
      </c>
      <c r="C8" s="16">
        <v>85</v>
      </c>
      <c r="D8" s="16">
        <v>90</v>
      </c>
      <c r="E8" s="16">
        <v>88</v>
      </c>
      <c r="F8" s="1">
        <f t="shared" si="0"/>
        <v>87.666666666666671</v>
      </c>
    </row>
    <row r="9" spans="1:6" x14ac:dyDescent="0.3">
      <c r="A9" s="7">
        <v>6</v>
      </c>
      <c r="B9" s="1" t="s">
        <v>10</v>
      </c>
      <c r="C9" s="16">
        <v>82</v>
      </c>
      <c r="D9" s="16">
        <v>89</v>
      </c>
      <c r="E9" s="16">
        <v>84</v>
      </c>
      <c r="F9" s="1">
        <f t="shared" si="0"/>
        <v>85</v>
      </c>
    </row>
    <row r="10" spans="1:6" x14ac:dyDescent="0.3">
      <c r="A10" s="7">
        <v>3</v>
      </c>
      <c r="B10" s="1" t="s">
        <v>7</v>
      </c>
      <c r="C10" s="16">
        <v>78</v>
      </c>
      <c r="D10" s="16">
        <v>82</v>
      </c>
      <c r="E10" s="16">
        <v>85</v>
      </c>
      <c r="F10" s="1">
        <f t="shared" si="0"/>
        <v>81.666666666666671</v>
      </c>
    </row>
    <row r="13" spans="1:6" ht="27.45" customHeight="1" x14ac:dyDescent="0.3">
      <c r="B13" s="26" t="s">
        <v>14</v>
      </c>
      <c r="C13" s="26"/>
      <c r="D13" s="26"/>
      <c r="E13" s="26"/>
    </row>
    <row r="14" spans="1:6" ht="28.05" customHeight="1" x14ac:dyDescent="0.3">
      <c r="B14" s="26" t="s">
        <v>15</v>
      </c>
      <c r="C14" s="26"/>
      <c r="D14" s="26"/>
      <c r="E14" s="26"/>
    </row>
    <row r="15" spans="1:6" ht="19.95" customHeight="1" x14ac:dyDescent="0.3">
      <c r="B15" s="26" t="s">
        <v>16</v>
      </c>
      <c r="C15" s="26"/>
      <c r="D15" s="26"/>
      <c r="E15" s="26"/>
    </row>
  </sheetData>
  <sortState xmlns:xlrd2="http://schemas.microsoft.com/office/spreadsheetml/2017/richdata2" ref="A2:F10">
    <sortCondition descending="1" ref="C2:C10"/>
  </sortState>
  <mergeCells count="3">
    <mergeCell ref="B13:E13"/>
    <mergeCell ref="B14:E14"/>
    <mergeCell ref="B15:E15"/>
  </mergeCells>
  <conditionalFormatting sqref="F2:F10">
    <cfRule type="cellIs" dxfId="3" priority="1" operator="greaterThan">
      <formula>85</formula>
    </cfRule>
    <cfRule type="expression" dxfId="2" priority="2">
      <formula>Average&gt;=85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selection activeCell="B17" sqref="B17"/>
    </sheetView>
  </sheetViews>
  <sheetFormatPr defaultRowHeight="14.4" x14ac:dyDescent="0.3"/>
  <cols>
    <col min="1" max="1" width="11.77734375" customWidth="1"/>
    <col min="2" max="2" width="15" customWidth="1"/>
    <col min="3" max="3" width="13" bestFit="1" customWidth="1"/>
    <col min="5" max="5" width="14.88671875" bestFit="1" customWidth="1"/>
    <col min="6" max="6" width="12.77734375" bestFit="1" customWidth="1"/>
    <col min="9" max="9" width="48.21875" customWidth="1"/>
  </cols>
  <sheetData>
    <row r="1" spans="1:9" x14ac:dyDescent="0.3">
      <c r="A1" s="17" t="s">
        <v>17</v>
      </c>
      <c r="B1" s="18" t="s">
        <v>18</v>
      </c>
      <c r="C1" s="18" t="s">
        <v>19</v>
      </c>
      <c r="D1" s="18" t="s">
        <v>20</v>
      </c>
      <c r="E1" s="19" t="s">
        <v>97</v>
      </c>
      <c r="F1" s="19" t="s">
        <v>21</v>
      </c>
    </row>
    <row r="2" spans="1:9" x14ac:dyDescent="0.3">
      <c r="A2" s="10">
        <v>1</v>
      </c>
      <c r="B2" s="1" t="s">
        <v>22</v>
      </c>
      <c r="C2" s="1" t="s">
        <v>23</v>
      </c>
      <c r="D2" s="1">
        <v>1000</v>
      </c>
      <c r="E2" s="11">
        <f>Table3[[#This Row],[Quantity]]*Table3[[#This Row],[Price]]</f>
        <v>5000</v>
      </c>
      <c r="F2" s="11">
        <v>5</v>
      </c>
    </row>
    <row r="3" spans="1:9" x14ac:dyDescent="0.3">
      <c r="A3" s="10">
        <v>2</v>
      </c>
      <c r="B3" s="1" t="s">
        <v>24</v>
      </c>
      <c r="C3" s="1" t="s">
        <v>25</v>
      </c>
      <c r="D3" s="1">
        <v>20</v>
      </c>
      <c r="E3" s="11">
        <f>Table3[[#This Row],[Quantity]]*Table3[[#This Row],[Price]]</f>
        <v>200</v>
      </c>
      <c r="F3" s="11">
        <v>10</v>
      </c>
    </row>
    <row r="4" spans="1:9" x14ac:dyDescent="0.3">
      <c r="A4" s="10">
        <v>3</v>
      </c>
      <c r="B4" s="1" t="s">
        <v>26</v>
      </c>
      <c r="C4" s="1" t="s">
        <v>23</v>
      </c>
      <c r="D4" s="1">
        <v>500</v>
      </c>
      <c r="E4" s="11">
        <f>Table3[[#This Row],[Quantity]]*Table3[[#This Row],[Price]]</f>
        <v>4000</v>
      </c>
      <c r="F4" s="11">
        <v>8</v>
      </c>
    </row>
    <row r="5" spans="1:9" x14ac:dyDescent="0.3">
      <c r="A5" s="10">
        <v>4</v>
      </c>
      <c r="B5" s="1" t="s">
        <v>27</v>
      </c>
      <c r="C5" s="1" t="s">
        <v>23</v>
      </c>
      <c r="D5" s="1">
        <v>200</v>
      </c>
      <c r="E5" s="11">
        <f>Table3[[#This Row],[Quantity]]*Table3[[#This Row],[Price]]</f>
        <v>3000</v>
      </c>
      <c r="F5" s="11">
        <v>15</v>
      </c>
    </row>
    <row r="6" spans="1:9" x14ac:dyDescent="0.3">
      <c r="A6" s="10">
        <v>5</v>
      </c>
      <c r="B6" s="1" t="s">
        <v>28</v>
      </c>
      <c r="C6" s="1" t="s">
        <v>25</v>
      </c>
      <c r="D6" s="1">
        <v>50</v>
      </c>
      <c r="E6" s="11">
        <f>Table3[[#This Row],[Quantity]]*Table3[[#This Row],[Price]]</f>
        <v>600</v>
      </c>
      <c r="F6" s="11">
        <v>12</v>
      </c>
    </row>
    <row r="7" spans="1:9" x14ac:dyDescent="0.3">
      <c r="A7" s="10">
        <v>6</v>
      </c>
      <c r="B7" s="1" t="s">
        <v>29</v>
      </c>
      <c r="C7" s="1" t="s">
        <v>23</v>
      </c>
      <c r="D7" s="1">
        <v>700</v>
      </c>
      <c r="E7" s="11">
        <f>Table3[[#This Row],[Quantity]]*Table3[[#This Row],[Price]]</f>
        <v>4200</v>
      </c>
      <c r="F7" s="11">
        <v>6</v>
      </c>
    </row>
    <row r="8" spans="1:9" x14ac:dyDescent="0.3">
      <c r="A8" s="10">
        <v>7</v>
      </c>
      <c r="B8" s="1" t="s">
        <v>30</v>
      </c>
      <c r="C8" s="1" t="s">
        <v>25</v>
      </c>
      <c r="D8" s="1">
        <v>30</v>
      </c>
      <c r="E8" s="11">
        <f>Table3[[#This Row],[Quantity]]*Table3[[#This Row],[Price]]</f>
        <v>600</v>
      </c>
      <c r="F8" s="11">
        <v>20</v>
      </c>
    </row>
    <row r="9" spans="1:9" x14ac:dyDescent="0.3">
      <c r="A9" s="10">
        <v>8</v>
      </c>
      <c r="B9" s="1" t="s">
        <v>31</v>
      </c>
      <c r="C9" s="1" t="s">
        <v>23</v>
      </c>
      <c r="D9" s="1">
        <v>1200</v>
      </c>
      <c r="E9" s="11">
        <f>Table3[[#This Row],[Quantity]]*Table3[[#This Row],[Price]]</f>
        <v>3600</v>
      </c>
      <c r="F9" s="11">
        <v>3</v>
      </c>
    </row>
    <row r="10" spans="1:9" x14ac:dyDescent="0.3">
      <c r="A10" s="10">
        <v>9</v>
      </c>
      <c r="B10" s="1" t="s">
        <v>32</v>
      </c>
      <c r="C10" s="1" t="s">
        <v>25</v>
      </c>
      <c r="D10" s="1">
        <v>80</v>
      </c>
      <c r="E10" s="11">
        <f>Table3[[#This Row],[Quantity]]*Table3[[#This Row],[Price]]</f>
        <v>560</v>
      </c>
      <c r="F10" s="11">
        <v>7</v>
      </c>
    </row>
    <row r="11" spans="1:9" x14ac:dyDescent="0.3">
      <c r="A11" s="14">
        <v>10</v>
      </c>
      <c r="B11" s="12" t="s">
        <v>33</v>
      </c>
      <c r="C11" s="12" t="s">
        <v>23</v>
      </c>
      <c r="D11" s="12">
        <v>300</v>
      </c>
      <c r="E11" s="11">
        <f>Table3[[#This Row],[Quantity]]*Table3[[#This Row],[Price]]</f>
        <v>3000</v>
      </c>
      <c r="F11" s="13">
        <v>10</v>
      </c>
    </row>
    <row r="12" spans="1:9" x14ac:dyDescent="0.3">
      <c r="I12" s="2" t="s">
        <v>34</v>
      </c>
    </row>
    <row r="13" spans="1:9" x14ac:dyDescent="0.3">
      <c r="I13" s="3"/>
    </row>
    <row r="14" spans="1:9" ht="24" x14ac:dyDescent="0.3">
      <c r="I14" s="4" t="s">
        <v>35</v>
      </c>
    </row>
    <row r="15" spans="1:9" x14ac:dyDescent="0.3">
      <c r="I15" s="4" t="s">
        <v>36</v>
      </c>
    </row>
    <row r="16" spans="1:9" ht="24" x14ac:dyDescent="0.3">
      <c r="I16" s="4" t="s">
        <v>37</v>
      </c>
    </row>
    <row r="17" spans="9:9" ht="24" x14ac:dyDescent="0.3">
      <c r="I17" s="4" t="s">
        <v>38</v>
      </c>
    </row>
    <row r="18" spans="9:9" x14ac:dyDescent="0.3">
      <c r="I18" s="4" t="s">
        <v>39</v>
      </c>
    </row>
  </sheetData>
  <conditionalFormatting sqref="D2:D11">
    <cfRule type="cellIs" dxfId="1" priority="1" operator="greaterThan">
      <formula>500</formula>
    </cfRule>
  </conditionalFormatting>
  <dataValidations count="2">
    <dataValidation type="list" allowBlank="1" showInputMessage="1" showErrorMessage="1" sqref="C1" xr:uid="{7428463D-3EB3-4D14-9CC9-2593DF22C7D8}">
      <formula1>"Electronics, Clothing"</formula1>
    </dataValidation>
    <dataValidation type="list" allowBlank="1" showInputMessage="1" showErrorMessage="1" sqref="C2:C11" xr:uid="{24D35518-A1D9-4018-BCCA-953651CF9629}">
      <formula1>$C$2:$C$11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>
      <selection activeCell="F24" sqref="F24"/>
    </sheetView>
  </sheetViews>
  <sheetFormatPr defaultRowHeight="14.4" x14ac:dyDescent="0.3"/>
  <cols>
    <col min="1" max="1" width="9.88671875" bestFit="1" customWidth="1"/>
    <col min="2" max="2" width="6.6640625" bestFit="1" customWidth="1"/>
    <col min="3" max="4" width="6.5546875" bestFit="1" customWidth="1"/>
    <col min="7" max="7" width="17" customWidth="1"/>
  </cols>
  <sheetData>
    <row r="1" spans="1:7" x14ac:dyDescent="0.3">
      <c r="A1" s="6" t="s">
        <v>44</v>
      </c>
      <c r="B1" s="6" t="s">
        <v>45</v>
      </c>
      <c r="C1" s="6" t="s">
        <v>46</v>
      </c>
      <c r="D1" s="6" t="s">
        <v>47</v>
      </c>
      <c r="E1" s="20" t="s">
        <v>98</v>
      </c>
      <c r="F1" s="20" t="s">
        <v>96</v>
      </c>
      <c r="G1" s="20" t="s">
        <v>99</v>
      </c>
    </row>
    <row r="2" spans="1:7" x14ac:dyDescent="0.3">
      <c r="A2" s="1" t="s">
        <v>48</v>
      </c>
      <c r="B2" s="1">
        <v>1200</v>
      </c>
      <c r="C2" s="1">
        <v>1100</v>
      </c>
      <c r="D2" s="1">
        <v>900</v>
      </c>
      <c r="E2" s="1">
        <f>SUM(B2:D2)</f>
        <v>3200</v>
      </c>
      <c r="F2" s="1">
        <f>AVERAGE(B2:D2)</f>
        <v>1066.6666666666667</v>
      </c>
      <c r="G2">
        <f>MAX(B2:D2)</f>
        <v>1200</v>
      </c>
    </row>
    <row r="3" spans="1:7" x14ac:dyDescent="0.3">
      <c r="A3" s="1" t="s">
        <v>49</v>
      </c>
      <c r="B3" s="1">
        <v>900</v>
      </c>
      <c r="C3" s="1">
        <v>1000</v>
      </c>
      <c r="D3" s="1">
        <v>800</v>
      </c>
      <c r="E3" s="1">
        <f t="shared" ref="E3:E10" si="0">SUM(B3:D3)</f>
        <v>2700</v>
      </c>
      <c r="F3" s="1">
        <f t="shared" ref="F3:F10" si="1">AVERAGE(B3:D3)</f>
        <v>900</v>
      </c>
      <c r="G3">
        <f t="shared" ref="G3:G10" si="2">MAX(B3:D3)</f>
        <v>1000</v>
      </c>
    </row>
    <row r="4" spans="1:7" x14ac:dyDescent="0.3">
      <c r="A4" s="1" t="s">
        <v>50</v>
      </c>
      <c r="B4" s="1">
        <v>1300</v>
      </c>
      <c r="C4" s="1">
        <v>950</v>
      </c>
      <c r="D4" s="1">
        <v>1050</v>
      </c>
      <c r="E4" s="1">
        <f t="shared" si="0"/>
        <v>3300</v>
      </c>
      <c r="F4" s="1">
        <f t="shared" si="1"/>
        <v>1100</v>
      </c>
      <c r="G4">
        <f t="shared" si="2"/>
        <v>1300</v>
      </c>
    </row>
    <row r="5" spans="1:7" x14ac:dyDescent="0.3">
      <c r="A5" s="1" t="s">
        <v>51</v>
      </c>
      <c r="B5" s="1">
        <v>1100</v>
      </c>
      <c r="C5" s="1">
        <v>1200</v>
      </c>
      <c r="D5" s="1">
        <v>850</v>
      </c>
      <c r="E5" s="1">
        <f t="shared" si="0"/>
        <v>3150</v>
      </c>
      <c r="F5" s="1">
        <f t="shared" si="1"/>
        <v>1050</v>
      </c>
      <c r="G5">
        <f t="shared" si="2"/>
        <v>1200</v>
      </c>
    </row>
    <row r="6" spans="1:7" x14ac:dyDescent="0.3">
      <c r="A6" s="1" t="s">
        <v>52</v>
      </c>
      <c r="B6" s="1">
        <v>950</v>
      </c>
      <c r="C6" s="1">
        <v>800</v>
      </c>
      <c r="D6" s="1">
        <v>950</v>
      </c>
      <c r="E6" s="1">
        <f t="shared" si="0"/>
        <v>2700</v>
      </c>
      <c r="F6" s="1">
        <f t="shared" si="1"/>
        <v>900</v>
      </c>
      <c r="G6">
        <f t="shared" si="2"/>
        <v>950</v>
      </c>
    </row>
    <row r="7" spans="1:7" x14ac:dyDescent="0.3">
      <c r="A7" s="1" t="s">
        <v>53</v>
      </c>
      <c r="B7" s="1">
        <v>1150</v>
      </c>
      <c r="C7" s="1">
        <v>1050</v>
      </c>
      <c r="D7" s="1">
        <v>1000</v>
      </c>
      <c r="E7" s="1">
        <f t="shared" si="0"/>
        <v>3200</v>
      </c>
      <c r="F7" s="1">
        <f t="shared" si="1"/>
        <v>1066.6666666666667</v>
      </c>
      <c r="G7">
        <f t="shared" si="2"/>
        <v>1150</v>
      </c>
    </row>
    <row r="8" spans="1:7" x14ac:dyDescent="0.3">
      <c r="A8" s="1" t="s">
        <v>54</v>
      </c>
      <c r="B8" s="1">
        <v>1050</v>
      </c>
      <c r="C8" s="1">
        <v>900</v>
      </c>
      <c r="D8" s="1">
        <v>1100</v>
      </c>
      <c r="E8" s="1">
        <f t="shared" si="0"/>
        <v>3050</v>
      </c>
      <c r="F8" s="1">
        <f t="shared" si="1"/>
        <v>1016.6666666666666</v>
      </c>
      <c r="G8">
        <f t="shared" si="2"/>
        <v>1100</v>
      </c>
    </row>
    <row r="9" spans="1:7" x14ac:dyDescent="0.3">
      <c r="A9" s="1" t="s">
        <v>55</v>
      </c>
      <c r="B9" s="1">
        <v>1000</v>
      </c>
      <c r="C9" s="1">
        <v>1150</v>
      </c>
      <c r="D9" s="1">
        <v>950</v>
      </c>
      <c r="E9" s="1">
        <f t="shared" si="0"/>
        <v>3100</v>
      </c>
      <c r="F9" s="1">
        <f t="shared" si="1"/>
        <v>1033.3333333333333</v>
      </c>
      <c r="G9">
        <f t="shared" si="2"/>
        <v>1150</v>
      </c>
    </row>
    <row r="10" spans="1:7" x14ac:dyDescent="0.3">
      <c r="A10" s="1" t="s">
        <v>56</v>
      </c>
      <c r="B10" s="1">
        <v>1250</v>
      </c>
      <c r="C10" s="1">
        <v>1000</v>
      </c>
      <c r="D10" s="1">
        <v>1200</v>
      </c>
      <c r="E10" s="1">
        <f t="shared" si="0"/>
        <v>3450</v>
      </c>
      <c r="F10" s="1">
        <f t="shared" si="1"/>
        <v>1150</v>
      </c>
      <c r="G10">
        <f t="shared" si="2"/>
        <v>1250</v>
      </c>
    </row>
    <row r="11" spans="1:7" x14ac:dyDescent="0.3">
      <c r="B11" s="21">
        <f>COUNTIF(B2:B10,"&gt;=1000")</f>
        <v>7</v>
      </c>
    </row>
    <row r="15" spans="1:7" x14ac:dyDescent="0.3">
      <c r="G15" t="s">
        <v>34</v>
      </c>
    </row>
    <row r="17" spans="7:7" x14ac:dyDescent="0.3">
      <c r="G17" t="s">
        <v>40</v>
      </c>
    </row>
    <row r="18" spans="7:7" x14ac:dyDescent="0.3">
      <c r="G18" t="s">
        <v>41</v>
      </c>
    </row>
    <row r="19" spans="7:7" x14ac:dyDescent="0.3">
      <c r="G19" t="s">
        <v>42</v>
      </c>
    </row>
    <row r="20" spans="7:7" x14ac:dyDescent="0.3">
      <c r="G20" t="s">
        <v>43</v>
      </c>
    </row>
    <row r="21" spans="7:7" x14ac:dyDescent="0.3">
      <c r="G21" t="s">
        <v>100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F9FF-FD80-4281-AFE9-6CCF2977C968}">
  <dimension ref="A1:H16"/>
  <sheetViews>
    <sheetView tabSelected="1" workbookViewId="0">
      <selection activeCell="F6" sqref="F6"/>
    </sheetView>
  </sheetViews>
  <sheetFormatPr defaultRowHeight="14.4" x14ac:dyDescent="0.3"/>
  <cols>
    <col min="1" max="1" width="9.44140625" bestFit="1" customWidth="1"/>
    <col min="7" max="7" width="13.109375" bestFit="1" customWidth="1"/>
  </cols>
  <sheetData>
    <row r="1" spans="1:8" x14ac:dyDescent="0.3">
      <c r="A1" s="6" t="s">
        <v>62</v>
      </c>
      <c r="B1" s="6" t="s">
        <v>63</v>
      </c>
      <c r="C1" s="6" t="s">
        <v>64</v>
      </c>
      <c r="D1" s="6" t="s">
        <v>65</v>
      </c>
      <c r="E1" s="6" t="s">
        <v>101</v>
      </c>
    </row>
    <row r="2" spans="1:8" x14ac:dyDescent="0.3">
      <c r="A2" s="1" t="s">
        <v>66</v>
      </c>
      <c r="B2" s="1">
        <v>550</v>
      </c>
      <c r="C2" s="1">
        <v>820</v>
      </c>
      <c r="D2" s="1">
        <f>C2-B2</f>
        <v>270</v>
      </c>
      <c r="E2" s="1" t="str">
        <f>IF(D2&gt;0, "Profitable", "Not Profitable")</f>
        <v>Profitable</v>
      </c>
      <c r="G2" t="s">
        <v>102</v>
      </c>
      <c r="H2">
        <v>10</v>
      </c>
    </row>
    <row r="3" spans="1:8" x14ac:dyDescent="0.3">
      <c r="A3" s="1" t="s">
        <v>67</v>
      </c>
      <c r="B3" s="1">
        <v>630</v>
      </c>
      <c r="C3" s="1">
        <v>950</v>
      </c>
      <c r="D3" s="1">
        <f t="shared" ref="D3:D11" si="0">C3-B3</f>
        <v>320</v>
      </c>
      <c r="E3" s="1" t="str">
        <f t="shared" ref="E3:E11" si="1">IF(D3&gt;0, "Profitable", "Not Profitable")</f>
        <v>Profitable</v>
      </c>
      <c r="G3" t="s">
        <v>103</v>
      </c>
      <c r="H3">
        <v>0</v>
      </c>
    </row>
    <row r="4" spans="1:8" x14ac:dyDescent="0.3">
      <c r="A4" s="1" t="s">
        <v>68</v>
      </c>
      <c r="B4" s="1">
        <v>720</v>
      </c>
      <c r="C4" s="1">
        <v>1050</v>
      </c>
      <c r="D4" s="1">
        <f t="shared" si="0"/>
        <v>330</v>
      </c>
      <c r="E4" s="1" t="str">
        <f t="shared" si="1"/>
        <v>Profitable</v>
      </c>
    </row>
    <row r="5" spans="1:8" x14ac:dyDescent="0.3">
      <c r="A5" s="1" t="s">
        <v>69</v>
      </c>
      <c r="B5" s="1">
        <v>680</v>
      </c>
      <c r="C5" s="1">
        <v>980</v>
      </c>
      <c r="D5" s="1">
        <f t="shared" si="0"/>
        <v>300</v>
      </c>
      <c r="E5" s="1" t="str">
        <f t="shared" si="1"/>
        <v>Profitable</v>
      </c>
    </row>
    <row r="6" spans="1:8" x14ac:dyDescent="0.3">
      <c r="A6" s="1" t="s">
        <v>70</v>
      </c>
      <c r="B6" s="1">
        <v>590</v>
      </c>
      <c r="C6" s="1">
        <v>870</v>
      </c>
      <c r="D6" s="1">
        <f t="shared" si="0"/>
        <v>280</v>
      </c>
      <c r="E6" s="1" t="str">
        <f t="shared" si="1"/>
        <v>Profitable</v>
      </c>
    </row>
    <row r="7" spans="1:8" x14ac:dyDescent="0.3">
      <c r="A7" s="1" t="s">
        <v>71</v>
      </c>
      <c r="B7" s="1">
        <v>660</v>
      </c>
      <c r="C7" s="1">
        <v>930</v>
      </c>
      <c r="D7" s="1">
        <f t="shared" si="0"/>
        <v>270</v>
      </c>
      <c r="E7" s="1" t="str">
        <f t="shared" si="1"/>
        <v>Profitable</v>
      </c>
    </row>
    <row r="8" spans="1:8" x14ac:dyDescent="0.3">
      <c r="A8" s="1" t="s">
        <v>72</v>
      </c>
      <c r="B8" s="1">
        <v>710</v>
      </c>
      <c r="C8" s="1">
        <v>1020</v>
      </c>
      <c r="D8" s="1">
        <f t="shared" si="0"/>
        <v>310</v>
      </c>
      <c r="E8" s="1" t="str">
        <f t="shared" si="1"/>
        <v>Profitable</v>
      </c>
    </row>
    <row r="9" spans="1:8" x14ac:dyDescent="0.3">
      <c r="A9" s="1" t="s">
        <v>73</v>
      </c>
      <c r="B9" s="1">
        <v>590</v>
      </c>
      <c r="C9" s="1">
        <v>880</v>
      </c>
      <c r="D9" s="1">
        <f t="shared" si="0"/>
        <v>290</v>
      </c>
      <c r="E9" s="1" t="str">
        <f t="shared" si="1"/>
        <v>Profitable</v>
      </c>
    </row>
    <row r="10" spans="1:8" x14ac:dyDescent="0.3">
      <c r="A10" s="1" t="s">
        <v>74</v>
      </c>
      <c r="B10" s="1">
        <v>640</v>
      </c>
      <c r="C10" s="1">
        <v>940</v>
      </c>
      <c r="D10" s="1">
        <f t="shared" si="0"/>
        <v>300</v>
      </c>
      <c r="E10" s="1" t="str">
        <f t="shared" si="1"/>
        <v>Profitable</v>
      </c>
      <c r="H10" t="s">
        <v>34</v>
      </c>
    </row>
    <row r="11" spans="1:8" x14ac:dyDescent="0.3">
      <c r="A11" s="1" t="s">
        <v>75</v>
      </c>
      <c r="B11" s="1">
        <v>600</v>
      </c>
      <c r="C11" s="1">
        <v>910</v>
      </c>
      <c r="D11" s="1">
        <f t="shared" si="0"/>
        <v>310</v>
      </c>
      <c r="E11" s="1" t="str">
        <f t="shared" si="1"/>
        <v>Profitable</v>
      </c>
    </row>
    <row r="12" spans="1:8" x14ac:dyDescent="0.3">
      <c r="B12" s="21">
        <f>SUM(B2:B11)</f>
        <v>6370</v>
      </c>
      <c r="C12" s="21">
        <f>SUM(C2:C11)</f>
        <v>9350</v>
      </c>
      <c r="H12" t="s">
        <v>57</v>
      </c>
    </row>
    <row r="13" spans="1:8" x14ac:dyDescent="0.3">
      <c r="H13" t="s">
        <v>58</v>
      </c>
    </row>
    <row r="14" spans="1:8" x14ac:dyDescent="0.3">
      <c r="H14" t="s">
        <v>59</v>
      </c>
    </row>
    <row r="15" spans="1:8" x14ac:dyDescent="0.3">
      <c r="H15" t="s">
        <v>60</v>
      </c>
    </row>
    <row r="16" spans="1:8" x14ac:dyDescent="0.3">
      <c r="H16" t="s">
        <v>61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D7D5C-9620-4905-8C3B-7F290BF6B079}">
  <dimension ref="A1:I17"/>
  <sheetViews>
    <sheetView workbookViewId="0">
      <selection activeCell="E13" sqref="E13"/>
    </sheetView>
  </sheetViews>
  <sheetFormatPr defaultRowHeight="14.4" x14ac:dyDescent="0.3"/>
  <cols>
    <col min="1" max="1" width="11.21875" bestFit="1" customWidth="1"/>
    <col min="2" max="2" width="14.44140625" bestFit="1" customWidth="1"/>
    <col min="3" max="3" width="11.109375" bestFit="1" customWidth="1"/>
    <col min="4" max="4" width="5.77734375" bestFit="1" customWidth="1"/>
    <col min="5" max="5" width="10.109375" bestFit="1" customWidth="1"/>
  </cols>
  <sheetData>
    <row r="1" spans="1:9" x14ac:dyDescent="0.3">
      <c r="A1" s="5" t="s">
        <v>81</v>
      </c>
      <c r="B1" s="5" t="s">
        <v>82</v>
      </c>
      <c r="C1" s="5" t="s">
        <v>83</v>
      </c>
      <c r="D1" s="5" t="s">
        <v>84</v>
      </c>
      <c r="E1" s="5" t="s">
        <v>85</v>
      </c>
      <c r="G1" s="23" t="s">
        <v>104</v>
      </c>
    </row>
    <row r="2" spans="1:9" x14ac:dyDescent="0.3">
      <c r="A2" s="1">
        <v>1</v>
      </c>
      <c r="B2" s="1" t="s">
        <v>86</v>
      </c>
      <c r="C2" s="1" t="s">
        <v>87</v>
      </c>
      <c r="D2" s="1">
        <v>55000</v>
      </c>
      <c r="E2" s="9">
        <v>43059</v>
      </c>
      <c r="G2">
        <f ca="1">DATEDIF(E2, TODAY(),"Y")</f>
        <v>8</v>
      </c>
    </row>
    <row r="3" spans="1:9" x14ac:dyDescent="0.3">
      <c r="A3" s="1">
        <v>2</v>
      </c>
      <c r="B3" s="1" t="s">
        <v>88</v>
      </c>
      <c r="C3" s="1" t="s">
        <v>89</v>
      </c>
      <c r="D3" s="1">
        <v>65000</v>
      </c>
      <c r="E3" s="9">
        <v>43682</v>
      </c>
      <c r="F3" s="22" t="str">
        <f>VLOOKUP(2,A2:C8, 3, FALSE)</f>
        <v>Sales</v>
      </c>
      <c r="G3">
        <f t="shared" ref="G3:G8" ca="1" si="0">DATEDIF(E3, TODAY(),"Y")</f>
        <v>6</v>
      </c>
    </row>
    <row r="4" spans="1:9" x14ac:dyDescent="0.3">
      <c r="A4" s="1">
        <v>3</v>
      </c>
      <c r="B4" s="1" t="s">
        <v>90</v>
      </c>
      <c r="C4" s="1" t="s">
        <v>91</v>
      </c>
      <c r="D4" s="1">
        <v>72000</v>
      </c>
      <c r="E4" s="9">
        <v>43146</v>
      </c>
      <c r="G4">
        <f t="shared" ca="1" si="0"/>
        <v>8</v>
      </c>
    </row>
    <row r="5" spans="1:9" x14ac:dyDescent="0.3">
      <c r="A5" s="1">
        <v>4</v>
      </c>
      <c r="B5" s="1" t="s">
        <v>92</v>
      </c>
      <c r="C5" s="1" t="s">
        <v>89</v>
      </c>
      <c r="D5" s="1">
        <v>63000</v>
      </c>
      <c r="E5" s="9">
        <v>43833</v>
      </c>
      <c r="G5">
        <f t="shared" ca="1" si="0"/>
        <v>6</v>
      </c>
    </row>
    <row r="6" spans="1:9" x14ac:dyDescent="0.3">
      <c r="A6" s="1">
        <v>5</v>
      </c>
      <c r="B6" s="1" t="s">
        <v>93</v>
      </c>
      <c r="C6" s="1" t="s">
        <v>87</v>
      </c>
      <c r="D6" s="1">
        <v>58000</v>
      </c>
      <c r="E6" s="9">
        <v>42623</v>
      </c>
      <c r="G6">
        <f t="shared" ca="1" si="0"/>
        <v>9</v>
      </c>
    </row>
    <row r="7" spans="1:9" x14ac:dyDescent="0.3">
      <c r="A7" s="1">
        <v>6</v>
      </c>
      <c r="B7" s="1" t="s">
        <v>94</v>
      </c>
      <c r="C7" s="1" t="s">
        <v>91</v>
      </c>
      <c r="D7" s="1">
        <v>68000</v>
      </c>
      <c r="E7" s="9">
        <v>42911</v>
      </c>
      <c r="G7">
        <f t="shared" ca="1" si="0"/>
        <v>9</v>
      </c>
    </row>
    <row r="8" spans="1:9" x14ac:dyDescent="0.3">
      <c r="A8" s="1">
        <v>7</v>
      </c>
      <c r="B8" s="1" t="s">
        <v>95</v>
      </c>
      <c r="C8" s="1" t="s">
        <v>89</v>
      </c>
      <c r="D8" s="1">
        <v>70000</v>
      </c>
      <c r="E8" s="9">
        <v>43567</v>
      </c>
      <c r="G8">
        <f t="shared" ca="1" si="0"/>
        <v>7</v>
      </c>
    </row>
    <row r="11" spans="1:9" x14ac:dyDescent="0.3">
      <c r="I11" t="s">
        <v>34</v>
      </c>
    </row>
    <row r="13" spans="1:9" x14ac:dyDescent="0.3">
      <c r="B13" s="24" t="s">
        <v>105</v>
      </c>
      <c r="C13" t="s">
        <v>107</v>
      </c>
      <c r="I13" t="s">
        <v>76</v>
      </c>
    </row>
    <row r="14" spans="1:9" x14ac:dyDescent="0.3">
      <c r="B14" s="25" t="s">
        <v>89</v>
      </c>
      <c r="C14">
        <v>198000</v>
      </c>
      <c r="I14" t="s">
        <v>77</v>
      </c>
    </row>
    <row r="15" spans="1:9" x14ac:dyDescent="0.3">
      <c r="B15" s="25" t="s">
        <v>87</v>
      </c>
      <c r="C15">
        <v>113000</v>
      </c>
      <c r="I15" t="s">
        <v>78</v>
      </c>
    </row>
    <row r="16" spans="1:9" x14ac:dyDescent="0.3">
      <c r="B16" s="25" t="s">
        <v>91</v>
      </c>
      <c r="C16">
        <v>140000</v>
      </c>
      <c r="I16" t="s">
        <v>79</v>
      </c>
    </row>
    <row r="17" spans="2:9" x14ac:dyDescent="0.3">
      <c r="B17" s="25" t="s">
        <v>106</v>
      </c>
      <c r="C17">
        <v>451000</v>
      </c>
      <c r="I17" t="s">
        <v>80</v>
      </c>
    </row>
  </sheetData>
  <conditionalFormatting sqref="D2:D8">
    <cfRule type="cellIs" dxfId="0" priority="1" operator="greaterThan">
      <formula>60000</formula>
    </cfRule>
  </conditionalFormatting>
  <dataValidations count="1">
    <dataValidation type="list" allowBlank="1" showInputMessage="1" showErrorMessage="1" sqref="C2:C8 D3" xr:uid="{97287063-2BA5-432B-BE3C-B915DA497F2A}">
      <formula1>"Department"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Task-1</vt:lpstr>
      <vt:lpstr>Task-2</vt:lpstr>
      <vt:lpstr>Task-3</vt:lpstr>
      <vt:lpstr>Task-4</vt:lpstr>
      <vt:lpstr>Task-5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Rajinder</dc:creator>
  <cp:lastModifiedBy>TANMAYEE PATIL</cp:lastModifiedBy>
  <dcterms:created xsi:type="dcterms:W3CDTF">2024-06-25T12:42:29Z</dcterms:created>
  <dcterms:modified xsi:type="dcterms:W3CDTF">2026-07-07T03:33:07Z</dcterms:modified>
</cp:coreProperties>
</file>